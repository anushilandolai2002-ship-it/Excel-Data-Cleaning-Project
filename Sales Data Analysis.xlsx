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755" activeTab="3"/>
  </bookViews>
  <sheets>
    <sheet name="Sheet 1" sheetId="1" r:id="rId1"/>
    <sheet name="Sheet2" sheetId="4" r:id="rId2"/>
    <sheet name="Sheet 3" sheetId="5" r:id="rId3"/>
    <sheet name="Sheet 4" sheetId="6" r:id="rId4"/>
  </sheets>
  <calcPr calcId="152511"/>
  <pivotCaches>
    <pivotCache cacheId="12" r:id="rId5"/>
    <pivotCache cacheId="20" r:id="rId6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<sst xmlns="http://schemas.openxmlformats.org/spreadsheetml/2006/main" count="149" uniqueCount="54">
  <si>
    <t>Date</t>
  </si>
  <si>
    <t>Region</t>
  </si>
  <si>
    <t>Salesperson</t>
  </si>
  <si>
    <t>Product</t>
  </si>
  <si>
    <t>Quantity</t>
  </si>
  <si>
    <t>Price</t>
  </si>
  <si>
    <t>Total Sale</t>
  </si>
  <si>
    <t>Customer Name</t>
  </si>
  <si>
    <t>Email</t>
  </si>
  <si>
    <t>Phone Number</t>
  </si>
  <si>
    <t>North</t>
  </si>
  <si>
    <t>Rahul Das</t>
  </si>
  <si>
    <t>Laptop</t>
  </si>
  <si>
    <t>A K Traders</t>
  </si>
  <si>
    <t>aktraders@ gmail.com</t>
  </si>
  <si>
    <t>9830012345</t>
  </si>
  <si>
    <t>South</t>
  </si>
  <si>
    <t>Sujit Roy</t>
  </si>
  <si>
    <t>Mobile</t>
  </si>
  <si>
    <t>Ghosh Electronics</t>
  </si>
  <si>
    <t>ghosh.elec@gmail .com</t>
  </si>
  <si>
    <t>7001234567</t>
  </si>
  <si>
    <t>aktraders@gmail.com</t>
  </si>
  <si>
    <t>East</t>
  </si>
  <si>
    <t>Suman Dey</t>
  </si>
  <si>
    <t>Mouse</t>
  </si>
  <si>
    <t>Digital World</t>
  </si>
  <si>
    <t>digitalworld @gmail.com</t>
  </si>
  <si>
    <t>9830011111</t>
  </si>
  <si>
    <t>West</t>
  </si>
  <si>
    <t>Mita Pal</t>
  </si>
  <si>
    <t>Keyboard</t>
  </si>
  <si>
    <t>Roy Tech</t>
  </si>
  <si>
    <t>roytech@gmail. com</t>
  </si>
  <si>
    <t>9876543210</t>
  </si>
  <si>
    <t>ghosh.elec@gmail.com</t>
  </si>
  <si>
    <t>Rajesh Saha</t>
  </si>
  <si>
    <t>Monitor</t>
  </si>
  <si>
    <t>Star Comp</t>
  </si>
  <si>
    <t>star.comp@gmail. com</t>
  </si>
  <si>
    <t>9900001111</t>
  </si>
  <si>
    <t>digitalworld@gmail.com</t>
  </si>
  <si>
    <t>roytech@gmail.com</t>
  </si>
  <si>
    <t>starcomp@gmail.com</t>
  </si>
  <si>
    <t>star.comp@gmail.com</t>
  </si>
  <si>
    <t>9900001020</t>
  </si>
  <si>
    <t>aktraders @gmail.com</t>
  </si>
  <si>
    <t>Sum of Quantity</t>
  </si>
  <si>
    <t>Row Labels</t>
  </si>
  <si>
    <t>Grand Total</t>
  </si>
  <si>
    <t>Sum of Total Sale</t>
  </si>
  <si>
    <t>#Total sales are hightest in the north and lowest sales in west</t>
  </si>
  <si>
    <t>#Suman Dey has sold the most units</t>
  </si>
  <si>
    <t xml:space="preserve"> #And Rahul Das generated the most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</si>
</sst>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76200</xdr:rowOff>
    </xdr:from>
    <xdr:to>
      <xdr:col>8</xdr:col>
      <xdr:colOff>164989</xdr:colOff>
      <xdr:row>15</xdr:row>
      <xdr:rowOff>164831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667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1</xdr:row>
      <xdr:rowOff>152400</xdr:rowOff>
    </xdr:from>
    <xdr:to>
      <xdr:col>17</xdr:col>
      <xdr:colOff>260239</xdr:colOff>
      <xdr:row>16</xdr:row>
      <xdr:rowOff>50531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850" y="342900"/>
          <a:ext cx="4584589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67.848576851851" createdVersion="5" refreshedVersion="5" minRefreshableVersion="3" recordCount="20">
  <cacheSource type="worksheet">
    <worksheetSource ref="A1:J21" sheet="Sheet 1"/>
  </cacheSource>
  <cacheFields count="10">
    <cacheField name="Date" numFmtId="164">
      <sharedItems containsSemiMixedTypes="0" containsNonDate="0" containsDate="1" containsString="0" minDate="2024-01-12T00:00:00" maxDate="2024-01-31T00:00:00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/>
    </cacheField>
    <cacheField name="Quantity" numFmtId="1">
      <sharedItems containsSemiMixedTypes="0" containsString="0" containsNumber="1" containsInteger="1" minValue="1" maxValue="10"/>
    </cacheField>
    <cacheField name="Price" numFmtId="2">
      <sharedItems containsSemiMixedTypes="0" containsString="0" containsNumber="1" containsInteger="1" minValue="600" maxValue="50000"/>
    </cacheField>
    <cacheField name="Total Sale" numFmtId="2">
      <sharedItems containsSemiMixedTypes="0" containsString="0" containsNumber="1" containsInteger="1" minValue="2400" maxValue="100000"/>
    </cacheField>
    <cacheField name="Customer Name" numFmtId="0">
      <sharedItems/>
    </cacheField>
    <cacheField name="Email" numFmtId="0">
      <sharedItems/>
    </cacheField>
    <cacheField name="Phone Number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5967.852515393519" createdVersion="5" refreshedVersion="5" minRefreshableVersion="3" recordCount="20">
  <cacheSource type="worksheet">
    <worksheetSource ref="A1:J21" sheet="Sheet 1"/>
  </cacheSource>
  <cacheFields count="10">
    <cacheField name="Date" numFmtId="164">
      <sharedItems containsSemiMixedTypes="0" containsNonDate="0" containsDate="1" containsString="0" minDate="2024-01-12T00:00:00" maxDate="2024-01-31T00:00:00"/>
    </cacheField>
    <cacheField name="Region" numFmtId="0">
      <sharedItems/>
    </cacheField>
    <cacheField name="Salesperson" numFmtId="0">
      <sharedItems count="5">
        <s v="Rahul Das"/>
        <s v="Sujit Roy"/>
        <s v="Suman Dey"/>
        <s v="Mita Pal"/>
        <s v="Rajesh Saha"/>
      </sharedItems>
    </cacheField>
    <cacheField name="Product" numFmtId="0">
      <sharedItems/>
    </cacheField>
    <cacheField name="Quantity" numFmtId="1">
      <sharedItems containsSemiMixedTypes="0" containsString="0" containsNumber="1" containsInteger="1" minValue="1" maxValue="10" count="9">
        <n v="2"/>
        <n v="3"/>
        <n v="10"/>
        <n v="5"/>
        <n v="4"/>
        <n v="1"/>
        <n v="8"/>
        <n v="6"/>
        <n v="7"/>
      </sharedItems>
    </cacheField>
    <cacheField name="Price" numFmtId="2">
      <sharedItems containsSemiMixedTypes="0" containsString="0" containsNumber="1" containsInteger="1" minValue="600" maxValue="50000"/>
    </cacheField>
    <cacheField name="Total Sale" numFmtId="2">
      <sharedItems containsSemiMixedTypes="0" containsString="0" containsNumber="1" containsInteger="1" minValue="2400" maxValue="100000"/>
    </cacheField>
    <cacheField name="Customer Name" numFmtId="0">
      <sharedItems count="5">
        <s v="A K Traders"/>
        <s v="Ghosh Electronics"/>
        <s v="Digital World"/>
        <s v="Roy Tech"/>
        <s v="Star Comp"/>
      </sharedItems>
    </cacheField>
    <cacheField name="Email" numFmtId="0">
      <sharedItems count="12">
        <s v="aktraders@ gmail.com"/>
        <s v="ghosh.elec@gmail .com"/>
        <s v="aktraders@gmail.com"/>
        <s v="digitalworld @gmail.com"/>
        <s v="roytech@gmail. com"/>
        <s v="ghosh.elec@gmail.com"/>
        <s v="star.comp@gmail. com"/>
        <s v="digitalworld@gmail.com"/>
        <s v="roytech@gmail.com"/>
        <s v="starcomp@gmail.com"/>
        <s v="star.comp@gmail.com"/>
        <s v="aktraders @gmail.com"/>
      </sharedItems>
    </cacheField>
    <cacheField name="Phone Number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d v="2024-01-12T00:00:00"/>
    <x v="0"/>
    <s v="Rahul Das"/>
    <s v="Laptop"/>
    <n v="2"/>
    <n v="50000"/>
    <n v="100000"/>
    <s v="A K Traders"/>
    <s v="aktraders@ gmail.com"/>
    <s v="9830012345"/>
  </r>
  <r>
    <d v="2024-01-13T00:00:00"/>
    <x v="1"/>
    <s v="Sujit Roy"/>
    <s v="Mobile"/>
    <n v="3"/>
    <n v="15000"/>
    <n v="45000"/>
    <s v="Ghosh Electronics"/>
    <s v="ghosh.elec@gmail .com"/>
    <s v="7001234567"/>
  </r>
  <r>
    <d v="2024-01-13T00:00:00"/>
    <x v="0"/>
    <s v="Rahul Das"/>
    <s v="Laptop"/>
    <n v="2"/>
    <n v="50000"/>
    <n v="100000"/>
    <s v="A K Traders"/>
    <s v="aktraders@gmail.com"/>
    <s v="9830012345"/>
  </r>
  <r>
    <d v="2024-01-14T00:00:00"/>
    <x v="2"/>
    <s v="Suman Dey"/>
    <s v="Mouse"/>
    <n v="10"/>
    <n v="600"/>
    <n v="6000"/>
    <s v="Digital World"/>
    <s v="digitalworld @gmail.com"/>
    <s v="9830011111"/>
  </r>
  <r>
    <d v="2024-01-15T00:00:00"/>
    <x v="3"/>
    <s v="Mita Pal"/>
    <s v="Keyboard"/>
    <n v="5"/>
    <n v="800"/>
    <n v="4000"/>
    <s v="Roy Tech"/>
    <s v="roytech@gmail. com"/>
    <s v="9876543210"/>
  </r>
  <r>
    <d v="2024-01-16T00:00:00"/>
    <x v="2"/>
    <s v="Sujit Roy"/>
    <s v="Mobile"/>
    <n v="4"/>
    <n v="15000"/>
    <n v="60000"/>
    <s v="Ghosh Electronics"/>
    <s v="ghosh.elec@gmail.com"/>
    <s v="7001234567"/>
  </r>
  <r>
    <d v="2024-01-17T00:00:00"/>
    <x v="1"/>
    <s v="Rajesh Saha"/>
    <s v="Monitor"/>
    <n v="2"/>
    <n v="12000"/>
    <n v="24000"/>
    <s v="Star Comp"/>
    <s v="star.comp@gmail. com"/>
    <s v="9900001111"/>
  </r>
  <r>
    <d v="2024-01-18T00:00:00"/>
    <x v="0"/>
    <s v="Rahul Das"/>
    <s v="Laptop"/>
    <n v="1"/>
    <n v="50000"/>
    <n v="50000"/>
    <s v="A K Traders"/>
    <s v="aktraders@gmail.com"/>
    <s v="9830012345"/>
  </r>
  <r>
    <d v="2024-01-19T00:00:00"/>
    <x v="3"/>
    <s v="Suman Dey"/>
    <s v="Mouse"/>
    <n v="8"/>
    <n v="600"/>
    <n v="4800"/>
    <s v="Digital World"/>
    <s v="digitalworld@gmail.com"/>
    <s v="9830011111"/>
  </r>
  <r>
    <d v="2024-01-20T00:00:00"/>
    <x v="1"/>
    <s v="Mita Pal"/>
    <s v="Keyboard"/>
    <n v="6"/>
    <n v="800"/>
    <n v="4800"/>
    <s v="Roy Tech"/>
    <s v="roytech@gmail.com"/>
    <s v="9876543210"/>
  </r>
  <r>
    <d v="2024-01-21T00:00:00"/>
    <x v="2"/>
    <s v="Rajesh Saha"/>
    <s v="Monitor"/>
    <n v="3"/>
    <n v="12000"/>
    <n v="36000"/>
    <s v="Star Comp"/>
    <s v="starcomp@gmail.com"/>
    <s v="9900001111"/>
  </r>
  <r>
    <d v="2024-01-22T00:00:00"/>
    <x v="3"/>
    <s v="Sujit Roy"/>
    <s v="Mobile"/>
    <n v="2"/>
    <n v="15000"/>
    <n v="30000"/>
    <s v="Ghosh Electronics"/>
    <s v="ghosh.elec@gmail.com"/>
    <s v="7001234567"/>
  </r>
  <r>
    <d v="2024-01-23T00:00:00"/>
    <x v="0"/>
    <s v="Mita Pal"/>
    <s v="Keyboard"/>
    <n v="7"/>
    <n v="800"/>
    <n v="5600"/>
    <s v="Roy Tech"/>
    <s v="roytech@gmail.com"/>
    <s v="9876543210"/>
  </r>
  <r>
    <d v="2024-01-24T00:00:00"/>
    <x v="2"/>
    <s v="Suman Dey"/>
    <s v="Mouse"/>
    <n v="5"/>
    <n v="600"/>
    <n v="3000"/>
    <s v="Digital World"/>
    <s v="digitalworld@gmail.com"/>
    <s v="9830011111"/>
  </r>
  <r>
    <d v="2024-01-25T00:00:00"/>
    <x v="1"/>
    <s v="Rahul Das"/>
    <s v="Laptop"/>
    <n v="1"/>
    <n v="50000"/>
    <n v="50000"/>
    <s v="A K Traders"/>
    <s v="aktraders@gmail.com"/>
    <s v="9830012345"/>
  </r>
  <r>
    <d v="2024-01-26T00:00:00"/>
    <x v="3"/>
    <s v="Rajesh Saha"/>
    <s v="Monitor"/>
    <n v="4"/>
    <n v="12000"/>
    <n v="48000"/>
    <s v="Star Comp"/>
    <s v="star.comp@gmail.com"/>
    <s v="9900001020"/>
  </r>
  <r>
    <d v="2024-01-27T00:00:00"/>
    <x v="2"/>
    <s v="Suman Dey"/>
    <s v="Mouse"/>
    <n v="6"/>
    <n v="600"/>
    <n v="3600"/>
    <s v="Digital World"/>
    <s v="digitalworld@gmail.com"/>
    <s v="9830011111"/>
  </r>
  <r>
    <d v="2024-01-28T00:00:00"/>
    <x v="0"/>
    <s v="Rahul Das"/>
    <s v="Laptop"/>
    <n v="2"/>
    <n v="50000"/>
    <n v="100000"/>
    <s v="A K Traders"/>
    <s v="aktraders @gmail.com"/>
    <s v="9830012345"/>
  </r>
  <r>
    <d v="2024-01-29T00:00:00"/>
    <x v="1"/>
    <s v="Mita Pal"/>
    <s v="Keyboard"/>
    <n v="3"/>
    <n v="800"/>
    <n v="2400"/>
    <s v="Roy Tech"/>
    <s v="roytech@gmail.com"/>
    <s v="9876543210"/>
  </r>
  <r>
    <d v="2024-01-30T00:00:00"/>
    <x v="2"/>
    <s v="Sujit Roy"/>
    <s v="Mobile"/>
    <n v="2"/>
    <n v="15000"/>
    <n v="30000"/>
    <s v="Ghosh Electronics"/>
    <s v="ghosh.elec@gmail.com"/>
    <s v="70012345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">
  <r>
    <d v="2024-01-12T00:00:00"/>
    <s v="North"/>
    <x v="0"/>
    <s v="Laptop"/>
    <x v="0"/>
    <n v="50000"/>
    <n v="100000"/>
    <x v="0"/>
    <x v="0"/>
    <s v="9830012345"/>
  </r>
  <r>
    <d v="2024-01-13T00:00:00"/>
    <s v="South"/>
    <x v="1"/>
    <s v="Mobile"/>
    <x v="1"/>
    <n v="15000"/>
    <n v="45000"/>
    <x v="1"/>
    <x v="1"/>
    <s v="7001234567"/>
  </r>
  <r>
    <d v="2024-01-13T00:00:00"/>
    <s v="North"/>
    <x v="0"/>
    <s v="Laptop"/>
    <x v="0"/>
    <n v="50000"/>
    <n v="100000"/>
    <x v="0"/>
    <x v="2"/>
    <s v="9830012345"/>
  </r>
  <r>
    <d v="2024-01-14T00:00:00"/>
    <s v="East"/>
    <x v="2"/>
    <s v="Mouse"/>
    <x v="2"/>
    <n v="600"/>
    <n v="6000"/>
    <x v="2"/>
    <x v="3"/>
    <s v="9830011111"/>
  </r>
  <r>
    <d v="2024-01-15T00:00:00"/>
    <s v="West"/>
    <x v="3"/>
    <s v="Keyboard"/>
    <x v="3"/>
    <n v="800"/>
    <n v="4000"/>
    <x v="3"/>
    <x v="4"/>
    <s v="9876543210"/>
  </r>
  <r>
    <d v="2024-01-16T00:00:00"/>
    <s v="East"/>
    <x v="1"/>
    <s v="Mobile"/>
    <x v="4"/>
    <n v="15000"/>
    <n v="60000"/>
    <x v="1"/>
    <x v="5"/>
    <s v="7001234567"/>
  </r>
  <r>
    <d v="2024-01-17T00:00:00"/>
    <s v="South"/>
    <x v="4"/>
    <s v="Monitor"/>
    <x v="0"/>
    <n v="12000"/>
    <n v="24000"/>
    <x v="4"/>
    <x v="6"/>
    <s v="9900001111"/>
  </r>
  <r>
    <d v="2024-01-18T00:00:00"/>
    <s v="North"/>
    <x v="0"/>
    <s v="Laptop"/>
    <x v="5"/>
    <n v="50000"/>
    <n v="50000"/>
    <x v="0"/>
    <x v="2"/>
    <s v="9830012345"/>
  </r>
  <r>
    <d v="2024-01-19T00:00:00"/>
    <s v="West"/>
    <x v="2"/>
    <s v="Mouse"/>
    <x v="6"/>
    <n v="600"/>
    <n v="4800"/>
    <x v="2"/>
    <x v="7"/>
    <s v="9830011111"/>
  </r>
  <r>
    <d v="2024-01-20T00:00:00"/>
    <s v="South"/>
    <x v="3"/>
    <s v="Keyboard"/>
    <x v="7"/>
    <n v="800"/>
    <n v="4800"/>
    <x v="3"/>
    <x v="8"/>
    <s v="9876543210"/>
  </r>
  <r>
    <d v="2024-01-21T00:00:00"/>
    <s v="East"/>
    <x v="4"/>
    <s v="Monitor"/>
    <x v="1"/>
    <n v="12000"/>
    <n v="36000"/>
    <x v="4"/>
    <x v="9"/>
    <s v="9900001111"/>
  </r>
  <r>
    <d v="2024-01-22T00:00:00"/>
    <s v="West"/>
    <x v="1"/>
    <s v="Mobile"/>
    <x v="0"/>
    <n v="15000"/>
    <n v="30000"/>
    <x v="1"/>
    <x v="5"/>
    <s v="7001234567"/>
  </r>
  <r>
    <d v="2024-01-23T00:00:00"/>
    <s v="North"/>
    <x v="3"/>
    <s v="Keyboard"/>
    <x v="8"/>
    <n v="800"/>
    <n v="5600"/>
    <x v="3"/>
    <x v="8"/>
    <s v="9876543210"/>
  </r>
  <r>
    <d v="2024-01-24T00:00:00"/>
    <s v="East"/>
    <x v="2"/>
    <s v="Mouse"/>
    <x v="3"/>
    <n v="600"/>
    <n v="3000"/>
    <x v="2"/>
    <x v="7"/>
    <s v="9830011111"/>
  </r>
  <r>
    <d v="2024-01-25T00:00:00"/>
    <s v="South"/>
    <x v="0"/>
    <s v="Laptop"/>
    <x v="5"/>
    <n v="50000"/>
    <n v="50000"/>
    <x v="0"/>
    <x v="2"/>
    <s v="9830012345"/>
  </r>
  <r>
    <d v="2024-01-26T00:00:00"/>
    <s v="West"/>
    <x v="4"/>
    <s v="Monitor"/>
    <x v="4"/>
    <n v="12000"/>
    <n v="48000"/>
    <x v="4"/>
    <x v="10"/>
    <s v="9900001020"/>
  </r>
  <r>
    <d v="2024-01-27T00:00:00"/>
    <s v="East"/>
    <x v="2"/>
    <s v="Mouse"/>
    <x v="7"/>
    <n v="600"/>
    <n v="3600"/>
    <x v="2"/>
    <x v="7"/>
    <s v="9830011111"/>
  </r>
  <r>
    <d v="2024-01-28T00:00:00"/>
    <s v="North"/>
    <x v="0"/>
    <s v="Laptop"/>
    <x v="0"/>
    <n v="50000"/>
    <n v="100000"/>
    <x v="0"/>
    <x v="11"/>
    <s v="9830012345"/>
  </r>
  <r>
    <d v="2024-01-29T00:00:00"/>
    <s v="South"/>
    <x v="3"/>
    <s v="Keyboard"/>
    <x v="1"/>
    <n v="800"/>
    <n v="2400"/>
    <x v="3"/>
    <x v="8"/>
    <s v="9876543210"/>
  </r>
  <r>
    <d v="2024-01-30T00:00:00"/>
    <s v="East"/>
    <x v="1"/>
    <s v="Mobile"/>
    <x v="0"/>
    <n v="15000"/>
    <n v="30000"/>
    <x v="1"/>
    <x v="5"/>
    <s v="70012345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10">
    <pivotField numFmtId="16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numFmtId="1" showAll="0"/>
    <pivotField numFmtId="2" showAll="0"/>
    <pivotField dataField="1" numFmtId="2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" fld="6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10">
    <pivotField numFmtId="164" showAll="0"/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" showAll="0">
      <items count="10">
        <item x="5"/>
        <item x="0"/>
        <item x="1"/>
        <item x="4"/>
        <item x="3"/>
        <item x="7"/>
        <item x="8"/>
        <item x="6"/>
        <item x="2"/>
        <item t="default"/>
      </items>
    </pivotField>
    <pivotField numFmtId="2" showAll="0"/>
    <pivotField dataField="1" numFmtId="2" showAll="0"/>
    <pivotField showAll="0">
      <items count="6">
        <item sd="0" x="0"/>
        <item sd="0" x="2"/>
        <item sd="0" x="1"/>
        <item sd="0" x="3"/>
        <item sd="0" x="4"/>
        <item t="default" sd="0"/>
      </items>
    </pivotField>
    <pivotField showAll="0">
      <items count="13">
        <item x="11"/>
        <item x="0"/>
        <item x="2"/>
        <item x="3"/>
        <item x="7"/>
        <item x="1"/>
        <item x="5"/>
        <item x="4"/>
        <item x="8"/>
        <item x="6"/>
        <item x="10"/>
        <item x="9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" fld="6" baseField="0" baseItem="0"/>
    <dataField name="Sum of Quantity" fld="4" baseField="0" baseItem="0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traders@%20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L14" sqref="L14"/>
    </sheetView>
  </sheetViews>
  <sheetFormatPr defaultRowHeight="15" x14ac:dyDescent="0.25"/>
  <cols>
    <col min="1" max="1" width="27.140625" bestFit="1" customWidth="1"/>
    <col min="2" max="2" width="7.140625" bestFit="1" customWidth="1"/>
    <col min="3" max="3" width="11.7109375" bestFit="1" customWidth="1"/>
    <col min="4" max="4" width="10.28515625" customWidth="1"/>
    <col min="5" max="5" width="8.7109375" bestFit="1" customWidth="1"/>
    <col min="6" max="6" width="8.5703125" bestFit="1" customWidth="1"/>
    <col min="7" max="7" width="9.5703125" bestFit="1" customWidth="1"/>
    <col min="8" max="8" width="18.42578125" customWidth="1"/>
    <col min="9" max="9" width="23.5703125" bestFit="1" customWidth="1"/>
    <col min="10" max="10" width="11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3" t="s">
        <v>9</v>
      </c>
    </row>
    <row r="2" spans="1:10" x14ac:dyDescent="0.25">
      <c r="A2" s="4">
        <v>45303</v>
      </c>
      <c r="B2" s="5" t="s">
        <v>10</v>
      </c>
      <c r="C2" s="5" t="s">
        <v>11</v>
      </c>
      <c r="D2" s="5" t="s">
        <v>12</v>
      </c>
      <c r="E2" s="6">
        <v>2</v>
      </c>
      <c r="F2" s="7">
        <v>50000</v>
      </c>
      <c r="G2" s="7">
        <f>E2*F2</f>
        <v>100000</v>
      </c>
      <c r="H2" s="5" t="s">
        <v>13</v>
      </c>
      <c r="I2" s="8" t="s">
        <v>14</v>
      </c>
      <c r="J2" s="7" t="s">
        <v>15</v>
      </c>
    </row>
    <row r="3" spans="1:10" x14ac:dyDescent="0.25">
      <c r="A3" s="4">
        <v>45304</v>
      </c>
      <c r="B3" s="5" t="s">
        <v>16</v>
      </c>
      <c r="C3" s="5" t="s">
        <v>17</v>
      </c>
      <c r="D3" s="5" t="s">
        <v>18</v>
      </c>
      <c r="E3" s="6">
        <v>3</v>
      </c>
      <c r="F3" s="7">
        <v>15000</v>
      </c>
      <c r="G3" s="7">
        <f t="shared" ref="G3:G21" si="0">E3*F3</f>
        <v>45000</v>
      </c>
      <c r="H3" s="5" t="s">
        <v>19</v>
      </c>
      <c r="I3" s="8" t="s">
        <v>20</v>
      </c>
      <c r="J3" s="7" t="s">
        <v>21</v>
      </c>
    </row>
    <row r="4" spans="1:10" x14ac:dyDescent="0.25">
      <c r="A4" s="4">
        <v>45304</v>
      </c>
      <c r="B4" s="5" t="s">
        <v>10</v>
      </c>
      <c r="C4" s="5" t="s">
        <v>11</v>
      </c>
      <c r="D4" s="5" t="s">
        <v>12</v>
      </c>
      <c r="E4" s="6">
        <v>2</v>
      </c>
      <c r="F4" s="7">
        <v>50000</v>
      </c>
      <c r="G4" s="7">
        <f t="shared" si="0"/>
        <v>100000</v>
      </c>
      <c r="H4" s="5" t="s">
        <v>13</v>
      </c>
      <c r="I4" s="8" t="s">
        <v>22</v>
      </c>
      <c r="J4" s="7" t="s">
        <v>15</v>
      </c>
    </row>
    <row r="5" spans="1:10" x14ac:dyDescent="0.25">
      <c r="A5" s="4">
        <v>45305</v>
      </c>
      <c r="B5" s="5" t="s">
        <v>23</v>
      </c>
      <c r="C5" s="5" t="s">
        <v>24</v>
      </c>
      <c r="D5" s="5" t="s">
        <v>25</v>
      </c>
      <c r="E5" s="6">
        <v>10</v>
      </c>
      <c r="F5" s="7">
        <v>600</v>
      </c>
      <c r="G5" s="7">
        <f t="shared" si="0"/>
        <v>6000</v>
      </c>
      <c r="H5" s="5" t="s">
        <v>26</v>
      </c>
      <c r="I5" s="8" t="s">
        <v>27</v>
      </c>
      <c r="J5" s="7" t="s">
        <v>28</v>
      </c>
    </row>
    <row r="6" spans="1:10" x14ac:dyDescent="0.25">
      <c r="A6" s="4">
        <v>45306</v>
      </c>
      <c r="B6" s="5" t="s">
        <v>29</v>
      </c>
      <c r="C6" s="5" t="s">
        <v>30</v>
      </c>
      <c r="D6" s="5" t="s">
        <v>31</v>
      </c>
      <c r="E6" s="6">
        <v>5</v>
      </c>
      <c r="F6" s="7">
        <v>800</v>
      </c>
      <c r="G6" s="7">
        <f t="shared" si="0"/>
        <v>4000</v>
      </c>
      <c r="H6" s="5" t="s">
        <v>32</v>
      </c>
      <c r="I6" s="8" t="s">
        <v>33</v>
      </c>
      <c r="J6" s="7" t="s">
        <v>34</v>
      </c>
    </row>
    <row r="7" spans="1:10" x14ac:dyDescent="0.25">
      <c r="A7" s="4">
        <v>45307</v>
      </c>
      <c r="B7" s="5" t="s">
        <v>23</v>
      </c>
      <c r="C7" s="5" t="s">
        <v>17</v>
      </c>
      <c r="D7" s="5" t="s">
        <v>18</v>
      </c>
      <c r="E7" s="6">
        <v>4</v>
      </c>
      <c r="F7" s="7">
        <v>15000</v>
      </c>
      <c r="G7" s="7">
        <f t="shared" si="0"/>
        <v>60000</v>
      </c>
      <c r="H7" s="5" t="s">
        <v>19</v>
      </c>
      <c r="I7" s="8" t="s">
        <v>35</v>
      </c>
      <c r="J7" s="7" t="s">
        <v>21</v>
      </c>
    </row>
    <row r="8" spans="1:10" x14ac:dyDescent="0.25">
      <c r="A8" s="4">
        <v>45308</v>
      </c>
      <c r="B8" s="5" t="s">
        <v>16</v>
      </c>
      <c r="C8" s="5" t="s">
        <v>36</v>
      </c>
      <c r="D8" s="5" t="s">
        <v>37</v>
      </c>
      <c r="E8" s="6">
        <v>2</v>
      </c>
      <c r="F8" s="7">
        <v>12000</v>
      </c>
      <c r="G8" s="7">
        <f t="shared" si="0"/>
        <v>24000</v>
      </c>
      <c r="H8" s="5" t="s">
        <v>38</v>
      </c>
      <c r="I8" s="8" t="s">
        <v>39</v>
      </c>
      <c r="J8" s="7" t="s">
        <v>40</v>
      </c>
    </row>
    <row r="9" spans="1:10" x14ac:dyDescent="0.25">
      <c r="A9" s="4">
        <v>45309</v>
      </c>
      <c r="B9" s="5" t="s">
        <v>10</v>
      </c>
      <c r="C9" s="5" t="s">
        <v>11</v>
      </c>
      <c r="D9" s="5" t="s">
        <v>12</v>
      </c>
      <c r="E9" s="6">
        <v>1</v>
      </c>
      <c r="F9" s="7">
        <v>50000</v>
      </c>
      <c r="G9" s="7">
        <f t="shared" si="0"/>
        <v>50000</v>
      </c>
      <c r="H9" s="5" t="s">
        <v>13</v>
      </c>
      <c r="I9" s="8" t="s">
        <v>22</v>
      </c>
      <c r="J9" s="7" t="s">
        <v>15</v>
      </c>
    </row>
    <row r="10" spans="1:10" x14ac:dyDescent="0.25">
      <c r="A10" s="4">
        <v>45310</v>
      </c>
      <c r="B10" s="5" t="s">
        <v>29</v>
      </c>
      <c r="C10" s="5" t="s">
        <v>24</v>
      </c>
      <c r="D10" s="5" t="s">
        <v>25</v>
      </c>
      <c r="E10" s="6">
        <v>8</v>
      </c>
      <c r="F10" s="7">
        <v>600</v>
      </c>
      <c r="G10" s="7">
        <f t="shared" si="0"/>
        <v>4800</v>
      </c>
      <c r="H10" s="5" t="s">
        <v>26</v>
      </c>
      <c r="I10" s="8" t="s">
        <v>41</v>
      </c>
      <c r="J10" s="7" t="s">
        <v>28</v>
      </c>
    </row>
    <row r="11" spans="1:10" x14ac:dyDescent="0.25">
      <c r="A11" s="4">
        <v>45311</v>
      </c>
      <c r="B11" s="5" t="s">
        <v>16</v>
      </c>
      <c r="C11" s="5" t="s">
        <v>30</v>
      </c>
      <c r="D11" s="5" t="s">
        <v>31</v>
      </c>
      <c r="E11" s="6">
        <v>6</v>
      </c>
      <c r="F11" s="7">
        <v>800</v>
      </c>
      <c r="G11" s="7">
        <f t="shared" si="0"/>
        <v>4800</v>
      </c>
      <c r="H11" s="5" t="s">
        <v>32</v>
      </c>
      <c r="I11" s="8" t="s">
        <v>42</v>
      </c>
      <c r="J11" s="7" t="s">
        <v>34</v>
      </c>
    </row>
    <row r="12" spans="1:10" x14ac:dyDescent="0.25">
      <c r="A12" s="4">
        <v>45312</v>
      </c>
      <c r="B12" s="5" t="s">
        <v>23</v>
      </c>
      <c r="C12" s="5" t="s">
        <v>36</v>
      </c>
      <c r="D12" s="5" t="s">
        <v>37</v>
      </c>
      <c r="E12" s="6">
        <v>3</v>
      </c>
      <c r="F12" s="7">
        <v>12000</v>
      </c>
      <c r="G12" s="7">
        <f t="shared" si="0"/>
        <v>36000</v>
      </c>
      <c r="H12" s="5" t="s">
        <v>38</v>
      </c>
      <c r="I12" s="8" t="s">
        <v>43</v>
      </c>
      <c r="J12" s="7" t="s">
        <v>40</v>
      </c>
    </row>
    <row r="13" spans="1:10" x14ac:dyDescent="0.25">
      <c r="A13" s="4">
        <v>45313</v>
      </c>
      <c r="B13" s="5" t="s">
        <v>29</v>
      </c>
      <c r="C13" s="5" t="s">
        <v>17</v>
      </c>
      <c r="D13" s="5" t="s">
        <v>18</v>
      </c>
      <c r="E13" s="6">
        <v>2</v>
      </c>
      <c r="F13" s="7">
        <v>15000</v>
      </c>
      <c r="G13" s="7">
        <f t="shared" si="0"/>
        <v>30000</v>
      </c>
      <c r="H13" s="5" t="s">
        <v>19</v>
      </c>
      <c r="I13" s="8" t="s">
        <v>35</v>
      </c>
      <c r="J13" s="7" t="s">
        <v>21</v>
      </c>
    </row>
    <row r="14" spans="1:10" x14ac:dyDescent="0.25">
      <c r="A14" s="4">
        <v>45314</v>
      </c>
      <c r="B14" s="5" t="s">
        <v>10</v>
      </c>
      <c r="C14" s="5" t="s">
        <v>30</v>
      </c>
      <c r="D14" s="5" t="s">
        <v>31</v>
      </c>
      <c r="E14" s="6">
        <v>7</v>
      </c>
      <c r="F14" s="7">
        <v>800</v>
      </c>
      <c r="G14" s="7">
        <f t="shared" si="0"/>
        <v>5600</v>
      </c>
      <c r="H14" s="5" t="s">
        <v>32</v>
      </c>
      <c r="I14" s="8" t="s">
        <v>42</v>
      </c>
      <c r="J14" s="7" t="s">
        <v>34</v>
      </c>
    </row>
    <row r="15" spans="1:10" x14ac:dyDescent="0.25">
      <c r="A15" s="4">
        <v>45315</v>
      </c>
      <c r="B15" s="5" t="s">
        <v>23</v>
      </c>
      <c r="C15" s="5" t="s">
        <v>24</v>
      </c>
      <c r="D15" s="5" t="s">
        <v>25</v>
      </c>
      <c r="E15" s="6">
        <v>5</v>
      </c>
      <c r="F15" s="7">
        <v>600</v>
      </c>
      <c r="G15" s="7">
        <f t="shared" si="0"/>
        <v>3000</v>
      </c>
      <c r="H15" s="5" t="s">
        <v>26</v>
      </c>
      <c r="I15" s="8" t="s">
        <v>41</v>
      </c>
      <c r="J15" s="7" t="s">
        <v>28</v>
      </c>
    </row>
    <row r="16" spans="1:10" x14ac:dyDescent="0.25">
      <c r="A16" s="4">
        <v>45316</v>
      </c>
      <c r="B16" s="5" t="s">
        <v>16</v>
      </c>
      <c r="C16" s="5" t="s">
        <v>11</v>
      </c>
      <c r="D16" s="5" t="s">
        <v>12</v>
      </c>
      <c r="E16" s="6">
        <v>1</v>
      </c>
      <c r="F16" s="7">
        <v>50000</v>
      </c>
      <c r="G16" s="7">
        <f t="shared" si="0"/>
        <v>50000</v>
      </c>
      <c r="H16" s="5" t="s">
        <v>13</v>
      </c>
      <c r="I16" s="8" t="s">
        <v>22</v>
      </c>
      <c r="J16" s="7" t="s">
        <v>15</v>
      </c>
    </row>
    <row r="17" spans="1:10" x14ac:dyDescent="0.25">
      <c r="A17" s="4">
        <v>45317</v>
      </c>
      <c r="B17" s="5" t="s">
        <v>29</v>
      </c>
      <c r="C17" s="5" t="s">
        <v>36</v>
      </c>
      <c r="D17" s="5" t="s">
        <v>37</v>
      </c>
      <c r="E17" s="6">
        <v>4</v>
      </c>
      <c r="F17" s="7">
        <v>12000</v>
      </c>
      <c r="G17" s="7">
        <f t="shared" si="0"/>
        <v>48000</v>
      </c>
      <c r="H17" s="5" t="s">
        <v>38</v>
      </c>
      <c r="I17" s="8" t="s">
        <v>44</v>
      </c>
      <c r="J17" s="7" t="s">
        <v>45</v>
      </c>
    </row>
    <row r="18" spans="1:10" x14ac:dyDescent="0.25">
      <c r="A18" s="4">
        <v>45318</v>
      </c>
      <c r="B18" s="5" t="s">
        <v>23</v>
      </c>
      <c r="C18" s="5" t="s">
        <v>24</v>
      </c>
      <c r="D18" s="5" t="s">
        <v>25</v>
      </c>
      <c r="E18" s="6">
        <v>6</v>
      </c>
      <c r="F18" s="7">
        <v>600</v>
      </c>
      <c r="G18" s="7">
        <f t="shared" si="0"/>
        <v>3600</v>
      </c>
      <c r="H18" s="5" t="s">
        <v>26</v>
      </c>
      <c r="I18" s="8" t="s">
        <v>41</v>
      </c>
      <c r="J18" s="7" t="s">
        <v>28</v>
      </c>
    </row>
    <row r="19" spans="1:10" x14ac:dyDescent="0.25">
      <c r="A19" s="4">
        <v>45319</v>
      </c>
      <c r="B19" s="5" t="s">
        <v>10</v>
      </c>
      <c r="C19" s="5" t="s">
        <v>11</v>
      </c>
      <c r="D19" s="5" t="s">
        <v>12</v>
      </c>
      <c r="E19" s="6">
        <v>2</v>
      </c>
      <c r="F19" s="7">
        <v>50000</v>
      </c>
      <c r="G19" s="7">
        <f t="shared" si="0"/>
        <v>100000</v>
      </c>
      <c r="H19" s="5" t="s">
        <v>13</v>
      </c>
      <c r="I19" s="8" t="s">
        <v>46</v>
      </c>
      <c r="J19" s="7" t="s">
        <v>15</v>
      </c>
    </row>
    <row r="20" spans="1:10" x14ac:dyDescent="0.25">
      <c r="A20" s="4">
        <v>45320</v>
      </c>
      <c r="B20" s="5" t="s">
        <v>16</v>
      </c>
      <c r="C20" s="5" t="s">
        <v>30</v>
      </c>
      <c r="D20" s="5" t="s">
        <v>31</v>
      </c>
      <c r="E20" s="6">
        <v>3</v>
      </c>
      <c r="F20" s="7">
        <v>800</v>
      </c>
      <c r="G20" s="7">
        <f t="shared" si="0"/>
        <v>2400</v>
      </c>
      <c r="H20" s="5" t="s">
        <v>32</v>
      </c>
      <c r="I20" s="8" t="s">
        <v>42</v>
      </c>
      <c r="J20" s="7" t="s">
        <v>34</v>
      </c>
    </row>
    <row r="21" spans="1:10" x14ac:dyDescent="0.25">
      <c r="A21" s="4">
        <v>45321</v>
      </c>
      <c r="B21" s="5" t="s">
        <v>23</v>
      </c>
      <c r="C21" s="5" t="s">
        <v>17</v>
      </c>
      <c r="D21" s="5" t="s">
        <v>18</v>
      </c>
      <c r="E21" s="6">
        <v>2</v>
      </c>
      <c r="F21" s="7">
        <v>15000</v>
      </c>
      <c r="G21" s="7">
        <f t="shared" si="0"/>
        <v>30000</v>
      </c>
      <c r="H21" s="5" t="s">
        <v>19</v>
      </c>
      <c r="I21" s="8" t="s">
        <v>35</v>
      </c>
      <c r="J21" s="7" t="s">
        <v>21</v>
      </c>
    </row>
  </sheetData>
  <conditionalFormatting sqref="G1:G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{FD561853-93CE-43A7-ABB7-AEA47D031C10}</x14:id>
        </ext>
      </extLst>
    </cfRule>
  </conditionalFormatting>
  <conditionalFormatting sqref="F1:F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1048576">
    <cfRule type="iconSet" priority="2">
      <iconSet iconSet="3Symbols">
        <cfvo type="percent" val="0"/>
        <cfvo type="percent" val="33"/>
        <cfvo type="percent" val="67"/>
      </iconSet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{920EC140-2A4F-4C96-A5D5-233986B89214}</x14:id>
        </ext>
      </extLst>
    </cfRule>
  </conditionalFormatting>
  <dataValidations count="1">
    <dataValidation type="whole" allowBlank="1" showInputMessage="1" showErrorMessage="1" sqref="E2:E21">
      <formula1>1</formula1>
      <formula2>10</formula2>
    </dataValidation>
  </dataValidations>
  <hyperlinks>
    <hyperlink ref="I2:I21" r:id="rId1" display="aktraders@ gmail.com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561853-93CE-43A7-ABB7-AEA47D031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920EC140-2A4F-4C96-A5D5-233986B892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"/>
  <sheetViews>
    <sheetView workbookViewId="0">
      <selection activeCell="F3" sqref="F3:I4"/>
    </sheetView>
  </sheetViews>
  <sheetFormatPr defaultRowHeight="15" x14ac:dyDescent="0.25"/>
  <cols>
    <col min="1" max="1" width="13.140625" bestFit="1" customWidth="1"/>
    <col min="2" max="2" width="16.28515625" bestFit="1" customWidth="1"/>
    <col min="4" max="4" width="8.5703125" customWidth="1"/>
    <col min="5" max="5" width="12.28515625" customWidth="1"/>
    <col min="9" max="9" width="44" customWidth="1"/>
  </cols>
  <sheetData>
    <row r="3" spans="1:9" x14ac:dyDescent="0.25">
      <c r="A3" s="9" t="s">
        <v>48</v>
      </c>
      <c r="B3" t="s">
        <v>50</v>
      </c>
      <c r="F3" s="12" t="s">
        <v>51</v>
      </c>
      <c r="G3" s="12"/>
      <c r="H3" s="12"/>
      <c r="I3" s="12"/>
    </row>
    <row r="4" spans="1:9" x14ac:dyDescent="0.25">
      <c r="A4" s="11" t="s">
        <v>10</v>
      </c>
      <c r="B4" s="10">
        <v>355600</v>
      </c>
      <c r="F4" s="12"/>
      <c r="G4" s="12"/>
      <c r="H4" s="12"/>
      <c r="I4" s="12"/>
    </row>
    <row r="5" spans="1:9" x14ac:dyDescent="0.25">
      <c r="A5" s="11" t="s">
        <v>16</v>
      </c>
      <c r="B5" s="10">
        <v>126200</v>
      </c>
    </row>
    <row r="6" spans="1:9" x14ac:dyDescent="0.25">
      <c r="A6" s="11" t="s">
        <v>29</v>
      </c>
      <c r="B6" s="10">
        <v>86800</v>
      </c>
    </row>
    <row r="7" spans="1:9" x14ac:dyDescent="0.25">
      <c r="A7" s="11" t="s">
        <v>23</v>
      </c>
      <c r="B7" s="10">
        <v>138600</v>
      </c>
    </row>
    <row r="8" spans="1:9" x14ac:dyDescent="0.25">
      <c r="A8" s="11" t="s">
        <v>49</v>
      </c>
      <c r="B8" s="10">
        <v>707200</v>
      </c>
    </row>
  </sheetData>
  <mergeCells count="1">
    <mergeCell ref="F3:I4"/>
  </mergeCells>
  <conditionalFormatting pivot="1" sqref="B4:B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{22C5D069-0B24-4637-8F17-33045AA7AA35}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2C5D069-0B24-4637-8F17-33045AA7A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"/>
  <sheetViews>
    <sheetView workbookViewId="0">
      <selection activeCell="G8" sqref="G8:G9"/>
    </sheetView>
  </sheetViews>
  <sheetFormatPr defaultRowHeight="15" x14ac:dyDescent="0.25"/>
  <cols>
    <col min="1" max="1" width="13.140625" customWidth="1"/>
    <col min="2" max="2" width="16.28515625" bestFit="1" customWidth="1"/>
    <col min="3" max="3" width="15.42578125" customWidth="1"/>
    <col min="4" max="4" width="6" customWidth="1"/>
    <col min="5" max="5" width="7" customWidth="1"/>
    <col min="6" max="6" width="5" customWidth="1"/>
    <col min="7" max="7" width="66" customWidth="1"/>
    <col min="8" max="10" width="5" customWidth="1"/>
    <col min="11" max="11" width="11.28515625" bestFit="1" customWidth="1"/>
  </cols>
  <sheetData>
    <row r="3" spans="1:7" x14ac:dyDescent="0.25">
      <c r="A3" s="9" t="s">
        <v>48</v>
      </c>
      <c r="B3" t="s">
        <v>50</v>
      </c>
      <c r="C3" t="s">
        <v>47</v>
      </c>
    </row>
    <row r="4" spans="1:7" x14ac:dyDescent="0.25">
      <c r="A4" s="11" t="s">
        <v>30</v>
      </c>
      <c r="B4" s="10">
        <v>16800</v>
      </c>
      <c r="C4" s="10">
        <v>21</v>
      </c>
      <c r="G4" s="14" t="s">
        <v>52</v>
      </c>
    </row>
    <row r="5" spans="1:7" x14ac:dyDescent="0.25">
      <c r="A5" s="11" t="s">
        <v>11</v>
      </c>
      <c r="B5" s="10">
        <v>400000</v>
      </c>
      <c r="C5" s="10">
        <v>8</v>
      </c>
      <c r="G5" s="14"/>
    </row>
    <row r="6" spans="1:7" x14ac:dyDescent="0.25">
      <c r="A6" s="11" t="s">
        <v>36</v>
      </c>
      <c r="B6" s="10">
        <v>108000</v>
      </c>
      <c r="C6" s="10">
        <v>9</v>
      </c>
      <c r="G6" s="14"/>
    </row>
    <row r="7" spans="1:7" x14ac:dyDescent="0.25">
      <c r="A7" s="11" t="s">
        <v>17</v>
      </c>
      <c r="B7" s="10">
        <v>165000</v>
      </c>
      <c r="C7" s="10">
        <v>11</v>
      </c>
    </row>
    <row r="8" spans="1:7" x14ac:dyDescent="0.25">
      <c r="A8" s="11" t="s">
        <v>24</v>
      </c>
      <c r="B8" s="10">
        <v>17400</v>
      </c>
      <c r="C8" s="10">
        <v>29</v>
      </c>
      <c r="G8" s="13" t="s">
        <v>53</v>
      </c>
    </row>
    <row r="9" spans="1:7" x14ac:dyDescent="0.25">
      <c r="A9" s="11" t="s">
        <v>49</v>
      </c>
      <c r="B9" s="10">
        <v>707200</v>
      </c>
      <c r="C9" s="10">
        <v>78</v>
      </c>
      <c r="G9" s="13"/>
    </row>
  </sheetData>
  <mergeCells count="2">
    <mergeCell ref="G4:G6"/>
    <mergeCell ref="G8:G9"/>
  </mergeCells>
  <conditionalFormatting pivot="1" sqref="C4:C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{61D82F01-B01B-4883-9B28-617FAAF9F8B2}</x14:id>
        </ext>
      </extLst>
    </cfRule>
  </conditionalFormatting>
  <conditionalFormatting pivot="1" sqref="B4:B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{257AA588-BD2A-496B-B2C1-1D1897EB3D1B}</x14:id>
        </ext>
      </extLst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1D82F01-B01B-4883-9B28-617FAAF9F8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C4:C8</xm:sqref>
        </x14:conditionalFormatting>
        <x14:conditionalFormatting xmlns:xm="http://schemas.microsoft.com/office/excel/2006/main" pivot="1">
          <x14:cfRule type="dataBar" id="{257AA588-BD2A-496B-B2C1-1D1897EB3D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O6" sqref="O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Sheet2</vt:lpstr>
      <vt:lpstr>Sheet 3</vt:lpstr>
      <vt:lpstr>Sheet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2025-11-06T13:50:48Z</dcterms:created>
  <dcterms:modified xsi:type="dcterms:W3CDTF">2025-11-06T15:27:39Z</dcterms:modified>
</cp:coreProperties>
</file>